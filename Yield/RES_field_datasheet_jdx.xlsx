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zhangdakui/Documents/GitHub/ERW/Yield/"/>
    </mc:Choice>
  </mc:AlternateContent>
  <xr:revisionPtr revIDLastSave="0" documentId="13_ncr:1_{393CA23E-1C92-4545-9116-C192AA0FEDEE}" xr6:coauthVersionLast="47" xr6:coauthVersionMax="47" xr10:uidLastSave="{00000000-0000-0000-0000-000000000000}"/>
  <bookViews>
    <workbookView xWindow="2820" yWindow="4340" windowWidth="27420" windowHeight="15300" xr2:uid="{00000000-000D-0000-FFFF-FFFF00000000}"/>
  </bookViews>
  <sheets>
    <sheet name="Sheet1" sheetId="1" r:id="rId1"/>
    <sheet name="draf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1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2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<sst xmlns="http://schemas.openxmlformats.org/spreadsheetml/2006/main" count="27" uniqueCount="27">
  <si>
    <t>Plot</t>
  </si>
  <si>
    <t>HI</t>
  </si>
  <si>
    <t>A50</t>
  </si>
  <si>
    <t>B50</t>
  </si>
  <si>
    <t>C50</t>
  </si>
  <si>
    <t>B10</t>
  </si>
  <si>
    <t>D50</t>
  </si>
  <si>
    <t>E10</t>
  </si>
  <si>
    <t>A0</t>
  </si>
  <si>
    <t>B0</t>
  </si>
  <si>
    <t>C10</t>
  </si>
  <si>
    <t>D0</t>
  </si>
  <si>
    <t>E0</t>
  </si>
  <si>
    <t>A10</t>
  </si>
  <si>
    <t>C0</t>
  </si>
  <si>
    <t>D10</t>
  </si>
  <si>
    <t>E50</t>
  </si>
  <si>
    <t>Bag_Tie_g</t>
  </si>
  <si>
    <t>OD_Total_Biomass_Bag_Tie_g</t>
  </si>
  <si>
    <t>OD_Total_Biomass_g</t>
  </si>
  <si>
    <t>OD_Gain_g</t>
  </si>
  <si>
    <t>OD_Straw_g</t>
  </si>
  <si>
    <t>(5xpaperbag+5Rubberband)/5</t>
  </si>
  <si>
    <t>Odgrain+paperbag+rubber</t>
  </si>
  <si>
    <t>paperbag+rubber</t>
  </si>
  <si>
    <t>OD grain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</si>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</sst>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25" zoomScaleNormal="145" workbookViewId="0">
      <selection activeCell="B19" sqref="B19"/>
    </sheetView>
  </sheetViews>
  <sheetFormatPr baseColWidth="10" defaultColWidth="11.5" defaultRowHeight="16" x14ac:dyDescent="0.2"/>
  <cols>
    <col min="2" max="2" width="26.6640625" customWidth="1"/>
    <col min="3" max="3" width="12.1640625" customWidth="1"/>
    <col min="4" max="4" width="18.6640625" customWidth="1"/>
    <col min="5" max="5" width="11.6640625" customWidth="1"/>
  </cols>
  <sheetData>
    <row r="1" spans="1:7" x14ac:dyDescent="0.2">
      <c r="A1" t="s">
        <v>0</v>
      </c>
      <c r="B1" t="s">
        <v>18</v>
      </c>
      <c r="C1" t="s">
        <v>17</v>
      </c>
      <c r="D1" t="s">
        <v>19</v>
      </c>
      <c r="E1" t="s">
        <v>20</v>
      </c>
      <c r="F1" t="s">
        <v>21</v>
      </c>
      <c r="G1" t="s">
        <v>1</v>
      </c>
    </row>
    <row r="2" spans="1:7" x14ac:dyDescent="0.2">
      <c r="A2" t="s">
        <v>8</v>
      </c>
      <c r="B2">
        <v>592</v>
      </c>
      <c r="C2">
        <v>122</v>
      </c>
      <c r="D2">
        <f xml:space="preserve"> B2-C2</f>
        <v>470</v>
      </c>
      <c r="E2">
        <v>247.072</v>
      </c>
      <c r="F2">
        <f>D2-E2</f>
        <v>222.928</v>
      </c>
      <c r="G2">
        <f xml:space="preserve"> E2/D2</f>
        <v>0.52568510638297872</v>
      </c>
    </row>
    <row r="3" spans="1:7" x14ac:dyDescent="0.2">
      <c r="A3" t="s">
        <v>13</v>
      </c>
      <c r="B3">
        <v>526</v>
      </c>
      <c r="C3">
        <v>122</v>
      </c>
      <c r="D3">
        <f t="shared" ref="D3:D16" si="0" xml:space="preserve"> B3-C3</f>
        <v>404</v>
      </c>
      <c r="E3">
        <v>219.71199999999999</v>
      </c>
      <c r="F3">
        <f t="shared" ref="F3:F15" si="1">D3-E3</f>
        <v>184.28800000000001</v>
      </c>
      <c r="G3">
        <f t="shared" ref="G3:G16" si="2" xml:space="preserve"> E3/D3</f>
        <v>0.54384158415841577</v>
      </c>
    </row>
    <row r="4" spans="1:7" x14ac:dyDescent="0.2">
      <c r="A4" t="s">
        <v>2</v>
      </c>
      <c r="B4">
        <v>552</v>
      </c>
      <c r="C4">
        <v>120</v>
      </c>
      <c r="D4">
        <f t="shared" si="0"/>
        <v>432</v>
      </c>
      <c r="E4">
        <v>231.61199999999999</v>
      </c>
      <c r="F4">
        <f t="shared" si="1"/>
        <v>200.38800000000001</v>
      </c>
      <c r="G4">
        <f t="shared" si="2"/>
        <v>0.53613888888888883</v>
      </c>
    </row>
    <row r="5" spans="1:7" x14ac:dyDescent="0.2">
      <c r="A5" t="s">
        <v>9</v>
      </c>
      <c r="B5">
        <v>544</v>
      </c>
      <c r="C5">
        <v>116</v>
      </c>
      <c r="D5">
        <f t="shared" si="0"/>
        <v>428</v>
      </c>
      <c r="E5">
        <v>229.77199999999999</v>
      </c>
      <c r="F5">
        <f t="shared" si="1"/>
        <v>198.22800000000001</v>
      </c>
      <c r="G5">
        <f t="shared" si="2"/>
        <v>0.53685046728971964</v>
      </c>
    </row>
    <row r="6" spans="1:7" x14ac:dyDescent="0.2">
      <c r="A6" t="s">
        <v>5</v>
      </c>
      <c r="B6">
        <v>608</v>
      </c>
      <c r="C6">
        <v>120</v>
      </c>
      <c r="D6">
        <f t="shared" si="0"/>
        <v>488</v>
      </c>
      <c r="E6">
        <v>253.292</v>
      </c>
      <c r="F6">
        <f t="shared" si="1"/>
        <v>234.708</v>
      </c>
      <c r="G6">
        <f t="shared" si="2"/>
        <v>0.51904098360655737</v>
      </c>
    </row>
    <row r="7" spans="1:7" x14ac:dyDescent="0.2">
      <c r="A7" t="s">
        <v>3</v>
      </c>
      <c r="B7">
        <v>548</v>
      </c>
      <c r="C7">
        <v>126</v>
      </c>
      <c r="D7">
        <f t="shared" si="0"/>
        <v>422</v>
      </c>
      <c r="E7">
        <v>218.892</v>
      </c>
      <c r="F7">
        <f t="shared" si="1"/>
        <v>203.108</v>
      </c>
      <c r="G7">
        <f t="shared" si="2"/>
        <v>0.5187014218009478</v>
      </c>
    </row>
    <row r="8" spans="1:7" x14ac:dyDescent="0.2">
      <c r="A8" t="s">
        <v>14</v>
      </c>
      <c r="B8">
        <v>572</v>
      </c>
      <c r="C8">
        <v>166</v>
      </c>
      <c r="D8">
        <f t="shared" si="0"/>
        <v>406</v>
      </c>
      <c r="E8">
        <v>202.352</v>
      </c>
      <c r="F8">
        <f t="shared" si="1"/>
        <v>203.648</v>
      </c>
      <c r="G8">
        <f t="shared" si="2"/>
        <v>0.49840394088669954</v>
      </c>
    </row>
    <row r="9" spans="1:7" x14ac:dyDescent="0.2">
      <c r="A9" t="s">
        <v>10</v>
      </c>
      <c r="B9">
        <v>580</v>
      </c>
      <c r="C9">
        <v>216</v>
      </c>
      <c r="D9">
        <f t="shared" si="0"/>
        <v>364</v>
      </c>
      <c r="E9">
        <v>204.392</v>
      </c>
      <c r="F9">
        <f t="shared" si="1"/>
        <v>159.608</v>
      </c>
      <c r="G9">
        <f t="shared" si="2"/>
        <v>0.56151648351648353</v>
      </c>
    </row>
    <row r="10" spans="1:7" x14ac:dyDescent="0.2">
      <c r="A10" t="s">
        <v>4</v>
      </c>
      <c r="B10">
        <v>520</v>
      </c>
      <c r="C10">
        <v>164</v>
      </c>
      <c r="D10">
        <f t="shared" si="0"/>
        <v>356</v>
      </c>
      <c r="E10">
        <v>197.512</v>
      </c>
      <c r="F10">
        <f t="shared" si="1"/>
        <v>158.488</v>
      </c>
      <c r="G10">
        <f t="shared" si="2"/>
        <v>0.55480898876404494</v>
      </c>
    </row>
    <row r="11" spans="1:7" x14ac:dyDescent="0.2">
      <c r="A11" t="s">
        <v>11</v>
      </c>
      <c r="B11">
        <v>584</v>
      </c>
      <c r="C11">
        <v>82</v>
      </c>
      <c r="D11">
        <f t="shared" si="0"/>
        <v>502</v>
      </c>
      <c r="E11">
        <v>247.69200000000001</v>
      </c>
      <c r="F11">
        <f t="shared" si="1"/>
        <v>254.30799999999999</v>
      </c>
      <c r="G11">
        <f t="shared" si="2"/>
        <v>0.49341035856573706</v>
      </c>
    </row>
    <row r="12" spans="1:7" x14ac:dyDescent="0.2">
      <c r="A12" t="s">
        <v>15</v>
      </c>
      <c r="B12">
        <v>492</v>
      </c>
      <c r="C12">
        <v>82</v>
      </c>
      <c r="D12">
        <f t="shared" si="0"/>
        <v>410</v>
      </c>
      <c r="E12">
        <v>208.792</v>
      </c>
      <c r="F12">
        <f t="shared" si="1"/>
        <v>201.208</v>
      </c>
      <c r="G12">
        <f t="shared" si="2"/>
        <v>0.50924878048780486</v>
      </c>
    </row>
    <row r="13" spans="1:7" x14ac:dyDescent="0.2">
      <c r="A13" t="s">
        <v>6</v>
      </c>
      <c r="B13">
        <v>536</v>
      </c>
      <c r="C13">
        <v>122</v>
      </c>
      <c r="D13">
        <f t="shared" si="0"/>
        <v>414</v>
      </c>
      <c r="E13">
        <v>210.15199999999999</v>
      </c>
      <c r="F13">
        <f t="shared" si="1"/>
        <v>203.84800000000001</v>
      </c>
      <c r="G13">
        <f t="shared" si="2"/>
        <v>0.50761352657004832</v>
      </c>
    </row>
    <row r="14" spans="1:7" x14ac:dyDescent="0.2">
      <c r="A14" t="s">
        <v>12</v>
      </c>
      <c r="B14">
        <v>632</v>
      </c>
      <c r="C14">
        <v>164</v>
      </c>
      <c r="D14">
        <f t="shared" si="0"/>
        <v>468</v>
      </c>
      <c r="E14">
        <v>237.13200000000001</v>
      </c>
      <c r="F14">
        <f t="shared" si="1"/>
        <v>230.86799999999999</v>
      </c>
      <c r="G14">
        <f t="shared" si="2"/>
        <v>0.50669230769230766</v>
      </c>
    </row>
    <row r="15" spans="1:7" x14ac:dyDescent="0.2">
      <c r="A15" t="s">
        <v>7</v>
      </c>
      <c r="B15">
        <v>480</v>
      </c>
      <c r="C15">
        <v>78</v>
      </c>
      <c r="D15">
        <f t="shared" si="0"/>
        <v>402</v>
      </c>
      <c r="E15">
        <v>206.41200000000001</v>
      </c>
      <c r="F15">
        <f t="shared" si="1"/>
        <v>195.58799999999999</v>
      </c>
      <c r="G15">
        <f t="shared" si="2"/>
        <v>0.51346268656716421</v>
      </c>
    </row>
    <row r="16" spans="1:7" x14ac:dyDescent="0.2">
      <c r="A16" t="s">
        <v>16</v>
      </c>
      <c r="B16">
        <v>540</v>
      </c>
      <c r="C16">
        <v>120</v>
      </c>
      <c r="D16">
        <f t="shared" si="0"/>
        <v>420</v>
      </c>
      <c r="E16">
        <v>212.31200000000001</v>
      </c>
      <c r="F16">
        <f>D16-E16</f>
        <v>207.68799999999999</v>
      </c>
      <c r="G16">
        <f t="shared" si="2"/>
        <v>0.5055047619047619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9CE3-FD7E-554E-BA11-1ABF52C511E2}">
  <dimension ref="A1:E19"/>
  <sheetViews>
    <sheetView workbookViewId="0">
      <selection activeCell="B19" sqref="B19"/>
    </sheetView>
  </sheetViews>
  <sheetFormatPr baseColWidth="10" defaultRowHeight="16" x14ac:dyDescent="0.2"/>
  <cols>
    <col min="1" max="1" width="21.83203125" customWidth="1"/>
    <col min="2" max="2" width="15" customWidth="1"/>
  </cols>
  <sheetData>
    <row r="1" spans="1:5" x14ac:dyDescent="0.2">
      <c r="A1" t="s">
        <v>23</v>
      </c>
      <c r="B1" t="s">
        <v>24</v>
      </c>
      <c r="C1" t="s">
        <v>25</v>
      </c>
      <c r="E1" t="s">
        <v>26</v>
      </c>
    </row>
    <row r="2" spans="1:5" x14ac:dyDescent="0.2">
      <c r="A2">
        <v>259.12</v>
      </c>
      <c r="B2">
        <v>12.048</v>
      </c>
      <c r="C2">
        <f xml:space="preserve"> A2-B2</f>
        <v>247.072</v>
      </c>
      <c r="D2">
        <v>247.072</v>
      </c>
      <c r="E2">
        <f>D2-C2</f>
        <v>0</v>
      </c>
    </row>
    <row r="3" spans="1:5" x14ac:dyDescent="0.2">
      <c r="A3">
        <v>231.76</v>
      </c>
      <c r="B3">
        <v>12.048</v>
      </c>
      <c r="C3">
        <f t="shared" ref="C3:C16" si="0" xml:space="preserve"> A3-B3</f>
        <v>219.71199999999999</v>
      </c>
      <c r="D3">
        <v>219.71199999999999</v>
      </c>
      <c r="E3">
        <f t="shared" ref="E3:E16" si="1">D3-C3</f>
        <v>0</v>
      </c>
    </row>
    <row r="4" spans="1:5" x14ac:dyDescent="0.2">
      <c r="A4">
        <v>243.66</v>
      </c>
      <c r="B4">
        <v>12.048</v>
      </c>
      <c r="C4">
        <f t="shared" si="0"/>
        <v>231.61199999999999</v>
      </c>
      <c r="D4">
        <v>231.61199999999999</v>
      </c>
      <c r="E4">
        <f t="shared" si="1"/>
        <v>0</v>
      </c>
    </row>
    <row r="5" spans="1:5" x14ac:dyDescent="0.2">
      <c r="A5">
        <v>241.82</v>
      </c>
      <c r="B5">
        <v>12.048</v>
      </c>
      <c r="C5">
        <f t="shared" si="0"/>
        <v>229.77199999999999</v>
      </c>
      <c r="D5">
        <v>229.77199999999999</v>
      </c>
      <c r="E5">
        <f t="shared" si="1"/>
        <v>0</v>
      </c>
    </row>
    <row r="6" spans="1:5" x14ac:dyDescent="0.2">
      <c r="A6">
        <v>265.33999999999997</v>
      </c>
      <c r="B6">
        <v>12.048</v>
      </c>
      <c r="C6">
        <f t="shared" si="0"/>
        <v>253.29199999999997</v>
      </c>
      <c r="D6">
        <v>253.292</v>
      </c>
      <c r="E6">
        <f t="shared" si="1"/>
        <v>0</v>
      </c>
    </row>
    <row r="7" spans="1:5" x14ac:dyDescent="0.2">
      <c r="A7">
        <v>230.94</v>
      </c>
      <c r="B7">
        <v>12.048</v>
      </c>
      <c r="C7">
        <f t="shared" si="0"/>
        <v>218.892</v>
      </c>
      <c r="D7">
        <v>218.892</v>
      </c>
      <c r="E7">
        <f t="shared" si="1"/>
        <v>0</v>
      </c>
    </row>
    <row r="8" spans="1:5" x14ac:dyDescent="0.2">
      <c r="A8">
        <v>214.4</v>
      </c>
      <c r="B8">
        <v>12.048</v>
      </c>
      <c r="C8">
        <f t="shared" si="0"/>
        <v>202.352</v>
      </c>
      <c r="D8">
        <v>202.352</v>
      </c>
      <c r="E8">
        <f t="shared" si="1"/>
        <v>0</v>
      </c>
    </row>
    <row r="9" spans="1:5" x14ac:dyDescent="0.2">
      <c r="A9">
        <v>216.44</v>
      </c>
      <c r="B9">
        <v>12.048</v>
      </c>
      <c r="C9">
        <f t="shared" si="0"/>
        <v>204.392</v>
      </c>
      <c r="D9">
        <v>204.392</v>
      </c>
      <c r="E9">
        <f t="shared" si="1"/>
        <v>0</v>
      </c>
    </row>
    <row r="10" spans="1:5" x14ac:dyDescent="0.2">
      <c r="A10">
        <v>209.56</v>
      </c>
      <c r="B10">
        <v>12.048</v>
      </c>
      <c r="C10">
        <f t="shared" si="0"/>
        <v>197.512</v>
      </c>
      <c r="D10">
        <v>197.512</v>
      </c>
      <c r="E10">
        <f t="shared" si="1"/>
        <v>0</v>
      </c>
    </row>
    <row r="11" spans="1:5" x14ac:dyDescent="0.2">
      <c r="A11">
        <v>259.74</v>
      </c>
      <c r="B11">
        <v>12.048</v>
      </c>
      <c r="C11">
        <f t="shared" si="0"/>
        <v>247.69200000000001</v>
      </c>
      <c r="D11">
        <v>247.69200000000001</v>
      </c>
      <c r="E11">
        <f t="shared" si="1"/>
        <v>0</v>
      </c>
    </row>
    <row r="12" spans="1:5" x14ac:dyDescent="0.2">
      <c r="A12">
        <v>220.84</v>
      </c>
      <c r="B12">
        <v>12.048</v>
      </c>
      <c r="C12">
        <f t="shared" si="0"/>
        <v>208.792</v>
      </c>
      <c r="D12">
        <v>208.792</v>
      </c>
      <c r="E12">
        <f t="shared" si="1"/>
        <v>0</v>
      </c>
    </row>
    <row r="13" spans="1:5" x14ac:dyDescent="0.2">
      <c r="A13">
        <v>222.2</v>
      </c>
      <c r="B13">
        <v>12.048</v>
      </c>
      <c r="C13">
        <f t="shared" si="0"/>
        <v>210.15199999999999</v>
      </c>
      <c r="D13">
        <v>210.15199999999999</v>
      </c>
      <c r="E13">
        <f t="shared" si="1"/>
        <v>0</v>
      </c>
    </row>
    <row r="14" spans="1:5" x14ac:dyDescent="0.2">
      <c r="A14">
        <v>249.18</v>
      </c>
      <c r="B14">
        <v>12.048</v>
      </c>
      <c r="C14">
        <f t="shared" si="0"/>
        <v>237.13200000000001</v>
      </c>
      <c r="D14">
        <v>237.13200000000001</v>
      </c>
      <c r="E14">
        <f t="shared" si="1"/>
        <v>0</v>
      </c>
    </row>
    <row r="15" spans="1:5" x14ac:dyDescent="0.2">
      <c r="A15">
        <v>218.46</v>
      </c>
      <c r="B15">
        <v>12.048</v>
      </c>
      <c r="C15">
        <f t="shared" si="0"/>
        <v>206.41200000000001</v>
      </c>
      <c r="D15">
        <v>206.41200000000001</v>
      </c>
      <c r="E15">
        <f t="shared" si="1"/>
        <v>0</v>
      </c>
    </row>
    <row r="16" spans="1:5" x14ac:dyDescent="0.2">
      <c r="A16">
        <v>224.36</v>
      </c>
      <c r="B16">
        <v>12.048</v>
      </c>
      <c r="C16">
        <f t="shared" si="0"/>
        <v>212.31200000000001</v>
      </c>
      <c r="D16">
        <v>212.31200000000001</v>
      </c>
      <c r="E16">
        <f t="shared" si="1"/>
        <v>0</v>
      </c>
    </row>
    <row r="18" spans="1:1" x14ac:dyDescent="0.2">
      <c r="A18" t="s">
        <v>22</v>
      </c>
    </row>
    <row r="19" spans="1:1" x14ac:dyDescent="0.2">
      <c r="A19">
        <v>12.048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Dexin Jiang</dc:creator>
  <cp:lastModifiedBy>Dexin Jiang</cp:lastModifiedBy>
  <dcterms:created xsi:type="dcterms:W3CDTF">2025-10-21T03:06:33Z</dcterms:created>
  <dcterms:modified xsi:type="dcterms:W3CDTF">2025-11-19T19:44:29Z</dcterms:modified>
</cp:coreProperties>
</file>